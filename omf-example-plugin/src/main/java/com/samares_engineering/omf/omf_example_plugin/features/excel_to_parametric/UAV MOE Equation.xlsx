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ntinCespedes\Documents\"/>
    </mc:Choice>
  </mc:AlternateContent>
  <xr:revisionPtr revIDLastSave="0" documentId="13_ncr:1_{883822DD-40E6-420D-89AB-C87096F5D97E}" xr6:coauthVersionLast="47" xr6:coauthVersionMax="47" xr10:uidLastSave="{00000000-0000-0000-0000-000000000000}"/>
  <bookViews>
    <workbookView xWindow="-120" yWindow="-120" windowWidth="51840" windowHeight="21120" xr2:uid="{A22A8A54-8611-4DA6-995F-F1DD76DD8434}"/>
  </bookViews>
  <sheets>
    <sheet name="ValueProperties" sheetId="1" r:id="rId1"/>
    <sheet name="Equ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F2" i="2" s="1"/>
  <c r="D13" i="2"/>
  <c r="E13" i="2" s="1"/>
  <c r="D5" i="2"/>
  <c r="D6" i="2" s="1"/>
  <c r="E6" i="2" s="1"/>
  <c r="D4" i="2"/>
  <c r="E4" i="2" s="1"/>
  <c r="D3" i="2" l="1"/>
  <c r="E2" i="2"/>
  <c r="E5" i="2"/>
  <c r="F13" i="2"/>
  <c r="F6" i="2"/>
  <c r="H6" i="2" s="1"/>
  <c r="D10" i="2"/>
  <c r="D11" i="2" l="1"/>
  <c r="E11" i="2" s="1"/>
  <c r="E10" i="2"/>
  <c r="D7" i="2"/>
  <c r="E3" i="2"/>
  <c r="F10" i="2"/>
  <c r="D12" i="2"/>
  <c r="E12" i="2" s="1"/>
  <c r="D8" i="2" l="1"/>
  <c r="E7" i="2"/>
  <c r="F12" i="2"/>
  <c r="H12" i="2" s="1"/>
  <c r="E8" i="2" l="1"/>
  <c r="F8" i="2"/>
  <c r="H8" i="2" s="1"/>
  <c r="D9" i="2"/>
  <c r="F9" i="2" l="1"/>
  <c r="H9" i="2" s="1"/>
  <c r="D14" i="2"/>
  <c r="E9" i="2"/>
  <c r="D15" i="2" l="1"/>
  <c r="E15" i="2" s="1"/>
  <c r="E14" i="2"/>
  <c r="F14" i="2"/>
  <c r="H14" i="2" s="1"/>
</calcChain>
</file>

<file path=xl/sharedStrings.xml><?xml version="1.0" encoding="utf-8"?>
<sst xmlns="http://schemas.openxmlformats.org/spreadsheetml/2006/main" count="92" uniqueCount="64">
  <si>
    <t>heures</t>
  </si>
  <si>
    <t>min</t>
  </si>
  <si>
    <t>Temps total mission = Temps Traitement Total + Temps Refuel Total + 2 * Temps base-champs + temps de recharge batterie</t>
  </si>
  <si>
    <t>Durée recharge totale = nombre de recharge * ( vitesse de recharge + Temps trajet Base-Champ)</t>
  </si>
  <si>
    <t>Temps de rechages batterie TOTAL</t>
  </si>
  <si>
    <t>Énergie nécessaire pour la mission / Capacité de la batterie</t>
  </si>
  <si>
    <t>Nombre de recharges de batterie</t>
  </si>
  <si>
    <t>kw</t>
  </si>
  <si>
    <t>(Temps traitement * Efficacité énergétique * (Poids structure + Poids produit + Poids batterie))</t>
  </si>
  <si>
    <t>Nombre de recharges produit * (Temps de refuel + Temps trajet Base-Champ)</t>
  </si>
  <si>
    <t>Nombre de recharges de produit</t>
  </si>
  <si>
    <t>Nombre de rangées</t>
  </si>
  <si>
    <t>hectare</t>
  </si>
  <si>
    <t>Result</t>
  </si>
  <si>
    <t>Value/Equation</t>
  </si>
  <si>
    <t>Parameter</t>
  </si>
  <si>
    <t>Longueur champ * Largeur champ</t>
  </si>
  <si>
    <t>Surface champ * Dose appliquée</t>
  </si>
  <si>
    <t>Largeur champ / Largeur d'application</t>
  </si>
  <si>
    <t>Longueur champ / Vitesse moyenne</t>
  </si>
  <si>
    <t>(Temps traitement rangée + Temps demi-tour) * Nombre de rangées</t>
  </si>
  <si>
    <t>Produit nécessaire / Capacité du réservoir</t>
  </si>
  <si>
    <t>Temps trajet recharge produit</t>
  </si>
  <si>
    <t>Nombre de recharges de produit * Temps de trajet base-champ</t>
  </si>
  <si>
    <t>Formated</t>
  </si>
  <si>
    <t>Distance Base-Field / Max Speed</t>
  </si>
  <si>
    <t>unit</t>
  </si>
  <si>
    <t>m²</t>
  </si>
  <si>
    <t>litres</t>
  </si>
  <si>
    <t>seconds</t>
  </si>
  <si>
    <t>wat hours</t>
  </si>
  <si>
    <t>Surface du champ</t>
  </si>
  <si>
    <t>Produit nécessaire</t>
  </si>
  <si>
    <t>Temps de traitement par rangée</t>
  </si>
  <si>
    <t>Temps de traitement total</t>
  </si>
  <si>
    <t>Temps de refuel total</t>
  </si>
  <si>
    <t>Énergie nécessaire pour la mission</t>
  </si>
  <si>
    <t>Temps de trajet base-champ</t>
  </si>
  <si>
    <t>Durée totale de la mission</t>
  </si>
  <si>
    <t>hour</t>
  </si>
  <si>
    <t>Durée totale de la mission/3600</t>
  </si>
  <si>
    <t>meter</t>
  </si>
  <si>
    <t>meter per second</t>
  </si>
  <si>
    <t>second</t>
  </si>
  <si>
    <t>liteter per second</t>
  </si>
  <si>
    <t>kilogram</t>
  </si>
  <si>
    <t>watt jour per kilograme</t>
  </si>
  <si>
    <t>watt hour</t>
  </si>
  <si>
    <t>Longueur du champ</t>
  </si>
  <si>
    <t>Largeur du champ</t>
  </si>
  <si>
    <t>Distance Base-Field</t>
  </si>
  <si>
    <t>Latteral SOI Range</t>
  </si>
  <si>
    <t>Vitesse moyenne</t>
  </si>
  <si>
    <t>Max Speed</t>
  </si>
  <si>
    <t>Temps de demi-tour</t>
  </si>
  <si>
    <t>Capacité du réservoir</t>
  </si>
  <si>
    <t>Dose appliquée</t>
  </si>
  <si>
    <t>Temps de refuel</t>
  </si>
  <si>
    <t>Poids de la structure</t>
  </si>
  <si>
    <t>Poids du produit transporté</t>
  </si>
  <si>
    <t xml:space="preserve">Efficacité énergétique </t>
  </si>
  <si>
    <t xml:space="preserve">Poids de la batterie </t>
  </si>
  <si>
    <t>Capacité de la batterie</t>
  </si>
  <si>
    <t>Vitesse de recharge de batterie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</si>
</sst>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2" fillId="2" borderId="2" xfId="0" applyFont="1" applyFill="1" applyBorder="1"/>
    <xf numFmtId="0" fontId="2" fillId="2" borderId="1" xfId="0" applyFont="1" applyFill="1" applyBorder="1"/>
    <xf numFmtId="0" fontId="0" fillId="3" borderId="0" xfId="0" applyFill="1"/>
    <xf numFmtId="0" fontId="0" fillId="3" borderId="1" xfId="0" applyFill="1" applyBorder="1"/>
    <xf numFmtId="0" fontId="2" fillId="4" borderId="2" xfId="0" applyFont="1" applyFill="1" applyBorder="1"/>
    <xf numFmtId="0" fontId="2" fillId="4" borderId="0" xfId="0" applyFont="1" applyFill="1"/>
    <xf numFmtId="0" fontId="2" fillId="4" borderId="1" xfId="0" applyFont="1" applyFill="1" applyBorder="1"/>
    <xf numFmtId="0" fontId="2" fillId="5" borderId="2" xfId="0" applyFont="1" applyFill="1" applyBorder="1"/>
    <xf numFmtId="0" fontId="2" fillId="5" borderId="0" xfId="0" applyFont="1" applyFill="1"/>
    <xf numFmtId="0" fontId="2" fillId="5" borderId="1" xfId="0" applyFont="1" applyFill="1" applyBorder="1"/>
    <xf numFmtId="0" fontId="2" fillId="6" borderId="2" xfId="0" applyFont="1" applyFill="1" applyBorder="1"/>
    <xf numFmtId="0" fontId="2" fillId="6" borderId="0" xfId="0" applyFont="1" applyFill="1"/>
    <xf numFmtId="0" fontId="2" fillId="6" borderId="1" xfId="0" applyFont="1" applyFill="1" applyBorder="1"/>
    <xf numFmtId="0" fontId="1" fillId="0" borderId="0" xfId="0" applyFont="1" applyAlignment="1">
      <alignment horizontal="center" vertical="top"/>
    </xf>
    <xf numFmtId="0" fontId="5" fillId="7" borderId="0" xfId="0" applyFont="1" applyFill="1"/>
    <xf numFmtId="0" fontId="4" fillId="8" borderId="3" xfId="0" applyFont="1" applyFill="1" applyBorder="1" applyAlignment="1">
      <alignment horizontal="center" vertical="top"/>
    </xf>
    <xf numFmtId="0" fontId="2" fillId="8" borderId="1" xfId="0" applyFont="1" applyFill="1" applyBorder="1"/>
    <xf numFmtId="0" fontId="2" fillId="8" borderId="0" xfId="0" applyFont="1" applyFill="1"/>
    <xf numFmtId="0" fontId="2" fillId="8" borderId="2" xfId="0" applyFont="1" applyFill="1" applyBorder="1"/>
    <xf numFmtId="0" fontId="6" fillId="0" borderId="0" xfId="0" applyFont="1"/>
    <xf numFmtId="0" fontId="0" fillId="5" borderId="0" xfId="0" applyFill="1"/>
    <xf numFmtId="0" fontId="0" fillId="6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9931-1C93-41B6-BB89-874B75E18699}">
  <dimension ref="A1:D17"/>
  <sheetViews>
    <sheetView tabSelected="1" workbookViewId="0">
      <selection activeCell="A18" sqref="A18"/>
    </sheetView>
  </sheetViews>
  <sheetFormatPr baseColWidth="10" defaultColWidth="9.140625" defaultRowHeight="15" x14ac:dyDescent="0.25"/>
  <cols>
    <col min="1" max="1" width="32.28515625" bestFit="1" customWidth="1"/>
    <col min="2" max="2" width="21.5703125" bestFit="1" customWidth="1"/>
    <col min="3" max="3" width="14.85546875" bestFit="1" customWidth="1"/>
    <col min="7" max="7" width="37" bestFit="1" customWidth="1"/>
    <col min="8" max="8" width="88.28515625" bestFit="1" customWidth="1"/>
    <col min="9" max="9" width="10" bestFit="1" customWidth="1"/>
  </cols>
  <sheetData>
    <row r="1" spans="1:4" x14ac:dyDescent="0.25">
      <c r="A1" s="4" t="s">
        <v>15</v>
      </c>
      <c r="B1" s="4" t="s">
        <v>26</v>
      </c>
      <c r="C1" s="4" t="s">
        <v>14</v>
      </c>
      <c r="D1" s="4"/>
    </row>
    <row r="2" spans="1:4" x14ac:dyDescent="0.25">
      <c r="A2" s="9" t="s">
        <v>48</v>
      </c>
      <c r="B2" s="9" t="s">
        <v>41</v>
      </c>
      <c r="C2" s="9">
        <v>500</v>
      </c>
    </row>
    <row r="3" spans="1:4" x14ac:dyDescent="0.25">
      <c r="A3" s="10" t="s">
        <v>49</v>
      </c>
      <c r="B3" s="10" t="s">
        <v>41</v>
      </c>
      <c r="C3" s="10">
        <v>300</v>
      </c>
    </row>
    <row r="4" spans="1:4" x14ac:dyDescent="0.25">
      <c r="A4" s="10" t="s">
        <v>50</v>
      </c>
      <c r="B4" s="10" t="s">
        <v>41</v>
      </c>
      <c r="C4" s="10">
        <v>1000</v>
      </c>
    </row>
    <row r="5" spans="1:4" x14ac:dyDescent="0.25">
      <c r="A5" s="11" t="s">
        <v>51</v>
      </c>
      <c r="B5" s="11" t="s">
        <v>41</v>
      </c>
      <c r="C5" s="11">
        <v>10</v>
      </c>
    </row>
    <row r="6" spans="1:4" x14ac:dyDescent="0.25">
      <c r="A6" s="7" t="s">
        <v>52</v>
      </c>
      <c r="B6" s="7" t="s">
        <v>42</v>
      </c>
      <c r="C6" s="7">
        <v>1</v>
      </c>
    </row>
    <row r="7" spans="1:4" x14ac:dyDescent="0.25">
      <c r="A7" s="7" t="s">
        <v>53</v>
      </c>
      <c r="B7" s="7" t="s">
        <v>42</v>
      </c>
      <c r="C7" s="7">
        <v>15</v>
      </c>
    </row>
    <row r="8" spans="1:4" x14ac:dyDescent="0.25">
      <c r="A8" s="8" t="s">
        <v>54</v>
      </c>
      <c r="B8" s="7" t="s">
        <v>43</v>
      </c>
      <c r="C8" s="8">
        <v>10</v>
      </c>
    </row>
    <row r="9" spans="1:4" x14ac:dyDescent="0.25">
      <c r="A9" s="12" t="s">
        <v>55</v>
      </c>
      <c r="B9" s="25" t="s">
        <v>28</v>
      </c>
      <c r="C9" s="12">
        <v>15</v>
      </c>
    </row>
    <row r="10" spans="1:4" x14ac:dyDescent="0.25">
      <c r="A10" s="13" t="s">
        <v>56</v>
      </c>
      <c r="B10" s="25" t="s">
        <v>44</v>
      </c>
      <c r="C10" s="13">
        <v>0.02</v>
      </c>
    </row>
    <row r="11" spans="1:4" x14ac:dyDescent="0.25">
      <c r="A11" s="14" t="s">
        <v>57</v>
      </c>
      <c r="B11" s="25" t="s">
        <v>43</v>
      </c>
      <c r="C11" s="14">
        <v>120</v>
      </c>
    </row>
    <row r="12" spans="1:4" x14ac:dyDescent="0.25">
      <c r="A12" s="15" t="s">
        <v>58</v>
      </c>
      <c r="B12" s="26" t="s">
        <v>45</v>
      </c>
      <c r="C12" s="15">
        <v>10</v>
      </c>
    </row>
    <row r="13" spans="1:4" x14ac:dyDescent="0.25">
      <c r="A13" s="16" t="s">
        <v>59</v>
      </c>
      <c r="B13" s="26" t="s">
        <v>45</v>
      </c>
      <c r="C13" s="16">
        <v>15</v>
      </c>
    </row>
    <row r="14" spans="1:4" x14ac:dyDescent="0.25">
      <c r="A14" s="16" t="s">
        <v>60</v>
      </c>
      <c r="B14" s="26" t="s">
        <v>46</v>
      </c>
      <c r="C14" s="16">
        <v>100</v>
      </c>
    </row>
    <row r="15" spans="1:4" x14ac:dyDescent="0.25">
      <c r="A15" s="17" t="s">
        <v>61</v>
      </c>
      <c r="B15" s="26" t="s">
        <v>45</v>
      </c>
      <c r="C15" s="17">
        <v>5</v>
      </c>
    </row>
    <row r="16" spans="1:4" x14ac:dyDescent="0.25">
      <c r="A16" s="5" t="s">
        <v>62</v>
      </c>
      <c r="B16" s="27" t="s">
        <v>47</v>
      </c>
      <c r="C16" s="5">
        <v>3000</v>
      </c>
    </row>
    <row r="17" spans="1:3" x14ac:dyDescent="0.25">
      <c r="A17" s="6" t="s">
        <v>63</v>
      </c>
      <c r="B17" s="27" t="s">
        <v>39</v>
      </c>
      <c r="C17" s="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6FD2-2E8C-4F98-9B5F-251C6FDF40B3}">
  <dimension ref="A1:I15"/>
  <sheetViews>
    <sheetView workbookViewId="0">
      <selection activeCell="C16" sqref="C16"/>
    </sheetView>
  </sheetViews>
  <sheetFormatPr baseColWidth="10" defaultRowHeight="15" x14ac:dyDescent="0.25"/>
  <cols>
    <col min="1" max="1" width="37.140625" bestFit="1" customWidth="1"/>
    <col min="2" max="2" width="37.140625" customWidth="1"/>
    <col min="3" max="3" width="110.7109375" bestFit="1" customWidth="1"/>
  </cols>
  <sheetData>
    <row r="1" spans="1:9" x14ac:dyDescent="0.25">
      <c r="A1" s="4" t="s">
        <v>15</v>
      </c>
      <c r="B1" s="4" t="s">
        <v>26</v>
      </c>
      <c r="C1" s="4" t="s">
        <v>14</v>
      </c>
      <c r="D1" s="20" t="s">
        <v>13</v>
      </c>
      <c r="E1" s="18" t="s">
        <v>24</v>
      </c>
    </row>
    <row r="2" spans="1:9" x14ac:dyDescent="0.25">
      <c r="A2" s="2" t="s">
        <v>31</v>
      </c>
      <c r="B2" s="2" t="s">
        <v>27</v>
      </c>
      <c r="C2" s="2" t="s">
        <v>16</v>
      </c>
      <c r="D2" s="21">
        <f>ValueProperties!C2*ValueProperties!C3</f>
        <v>150000</v>
      </c>
      <c r="E2" s="2">
        <f>D2</f>
        <v>150000</v>
      </c>
      <c r="F2" s="2">
        <f>D2/10000</f>
        <v>15</v>
      </c>
      <c r="G2" s="2" t="s">
        <v>12</v>
      </c>
    </row>
    <row r="3" spans="1:9" x14ac:dyDescent="0.25">
      <c r="A3" t="s">
        <v>32</v>
      </c>
      <c r="B3" t="s">
        <v>28</v>
      </c>
      <c r="C3" t="s">
        <v>17</v>
      </c>
      <c r="D3" s="22">
        <f>D2*ValueProperties!C10</f>
        <v>3000</v>
      </c>
      <c r="E3">
        <f>D3</f>
        <v>3000</v>
      </c>
    </row>
    <row r="4" spans="1:9" x14ac:dyDescent="0.25">
      <c r="A4" t="s">
        <v>11</v>
      </c>
      <c r="C4" t="s">
        <v>18</v>
      </c>
      <c r="D4" s="22">
        <f>ValueProperties!C3/ValueProperties!C5</f>
        <v>30</v>
      </c>
      <c r="E4">
        <f t="shared" ref="E4:E10" si="0">D4</f>
        <v>30</v>
      </c>
    </row>
    <row r="5" spans="1:9" x14ac:dyDescent="0.25">
      <c r="A5" t="s">
        <v>33</v>
      </c>
      <c r="B5" t="s">
        <v>29</v>
      </c>
      <c r="C5" t="s">
        <v>19</v>
      </c>
      <c r="D5" s="22">
        <f>ValueProperties!C3/ValueProperties!C6</f>
        <v>300</v>
      </c>
      <c r="E5">
        <f t="shared" si="0"/>
        <v>300</v>
      </c>
    </row>
    <row r="6" spans="1:9" x14ac:dyDescent="0.25">
      <c r="A6" s="2" t="s">
        <v>34</v>
      </c>
      <c r="B6" s="2" t="s">
        <v>29</v>
      </c>
      <c r="C6" s="2" t="s">
        <v>20</v>
      </c>
      <c r="D6" s="21">
        <f>(D5+ValueProperties!C8)*D4</f>
        <v>9300</v>
      </c>
      <c r="E6" s="2">
        <f t="shared" si="0"/>
        <v>9300</v>
      </c>
      <c r="F6" s="2">
        <f>D6/60</f>
        <v>155</v>
      </c>
      <c r="G6" s="2" t="s">
        <v>1</v>
      </c>
      <c r="H6" s="2">
        <f>TRUNC(F6/60,1)</f>
        <v>2.5</v>
      </c>
      <c r="I6" s="2" t="s">
        <v>0</v>
      </c>
    </row>
    <row r="7" spans="1:9" x14ac:dyDescent="0.25">
      <c r="A7" s="3" t="s">
        <v>10</v>
      </c>
      <c r="B7" s="3"/>
      <c r="C7" s="3" t="s">
        <v>21</v>
      </c>
      <c r="D7" s="23">
        <f>D3/ValueProperties!C9</f>
        <v>200</v>
      </c>
      <c r="E7">
        <f t="shared" si="0"/>
        <v>200</v>
      </c>
      <c r="F7" s="3"/>
      <c r="G7" s="3"/>
      <c r="H7" s="3"/>
      <c r="I7" s="3"/>
    </row>
    <row r="8" spans="1:9" x14ac:dyDescent="0.25">
      <c r="A8" t="s">
        <v>22</v>
      </c>
      <c r="B8" t="s">
        <v>29</v>
      </c>
      <c r="C8" t="s">
        <v>23</v>
      </c>
      <c r="D8" s="22">
        <f>D7*D13</f>
        <v>13333.333333333334</v>
      </c>
      <c r="E8">
        <f t="shared" si="0"/>
        <v>13333.333333333334</v>
      </c>
      <c r="F8">
        <f>D8/60</f>
        <v>222.22222222222223</v>
      </c>
      <c r="G8" t="s">
        <v>1</v>
      </c>
      <c r="H8">
        <f>TRUNC(F8/60,1)</f>
        <v>3.7</v>
      </c>
      <c r="I8" t="s">
        <v>0</v>
      </c>
    </row>
    <row r="9" spans="1:9" x14ac:dyDescent="0.25">
      <c r="A9" s="2" t="s">
        <v>35</v>
      </c>
      <c r="B9" s="2" t="s">
        <v>29</v>
      </c>
      <c r="C9" s="2" t="s">
        <v>9</v>
      </c>
      <c r="D9" s="21">
        <f>D7*ValueProperties!C11 +D8</f>
        <v>37333.333333333336</v>
      </c>
      <c r="E9" s="2">
        <f t="shared" si="0"/>
        <v>37333.333333333336</v>
      </c>
      <c r="F9" s="2">
        <f>D9/60</f>
        <v>622.22222222222229</v>
      </c>
      <c r="G9" s="2" t="s">
        <v>1</v>
      </c>
      <c r="H9" s="2">
        <f>TRUNC(F9/60,1)</f>
        <v>10.3</v>
      </c>
      <c r="I9" s="2" t="s">
        <v>0</v>
      </c>
    </row>
    <row r="10" spans="1:9" x14ac:dyDescent="0.25">
      <c r="A10" s="3" t="s">
        <v>36</v>
      </c>
      <c r="B10" s="3" t="s">
        <v>30</v>
      </c>
      <c r="C10" s="3" t="s">
        <v>8</v>
      </c>
      <c r="D10" s="23">
        <f>D6/3600*ValueProperties!C14*(ValueProperties!C15+ValueProperties!C13+ValueProperties!C12)</f>
        <v>7750.0000000000009</v>
      </c>
      <c r="E10">
        <f t="shared" si="0"/>
        <v>7750.0000000000009</v>
      </c>
      <c r="F10" s="3">
        <f>D10/1000</f>
        <v>7.7500000000000009</v>
      </c>
      <c r="G10" s="3" t="s">
        <v>7</v>
      </c>
      <c r="H10" s="3"/>
      <c r="I10" s="3"/>
    </row>
    <row r="11" spans="1:9" x14ac:dyDescent="0.25">
      <c r="A11" t="s">
        <v>6</v>
      </c>
      <c r="C11" t="s">
        <v>5</v>
      </c>
      <c r="D11" s="22">
        <f>D10/ValueProperties!C16</f>
        <v>2.5833333333333335</v>
      </c>
      <c r="E11">
        <f>ROUNDUP(D11,1)</f>
        <v>2.6</v>
      </c>
    </row>
    <row r="12" spans="1:9" x14ac:dyDescent="0.25">
      <c r="A12" s="2" t="s">
        <v>4</v>
      </c>
      <c r="B12" s="2" t="s">
        <v>29</v>
      </c>
      <c r="C12" s="2" t="s">
        <v>3</v>
      </c>
      <c r="D12" s="21">
        <f>D11*(ValueProperties!C17*3600+D13)</f>
        <v>28072.222222222223</v>
      </c>
      <c r="E12" s="2">
        <f>ROUNDUP(D12,0)</f>
        <v>28073</v>
      </c>
      <c r="F12" s="2">
        <f>D12/60</f>
        <v>467.87037037037038</v>
      </c>
      <c r="G12" s="2" t="s">
        <v>1</v>
      </c>
      <c r="H12" s="2">
        <f>TRUNC(F12/60,1)</f>
        <v>7.7</v>
      </c>
      <c r="I12" s="2" t="s">
        <v>0</v>
      </c>
    </row>
    <row r="13" spans="1:9" x14ac:dyDescent="0.25">
      <c r="A13" t="s">
        <v>37</v>
      </c>
      <c r="B13" t="s">
        <v>29</v>
      </c>
      <c r="C13" t="s">
        <v>25</v>
      </c>
      <c r="D13" s="22">
        <f>ValueProperties!C4/ValueProperties!C7</f>
        <v>66.666666666666671</v>
      </c>
      <c r="E13">
        <f>ROUNDUP(D13,0)</f>
        <v>67</v>
      </c>
      <c r="F13">
        <f>TRUNC(D13/60,1)</f>
        <v>1.1000000000000001</v>
      </c>
      <c r="G13" t="s">
        <v>1</v>
      </c>
    </row>
    <row r="14" spans="1:9" x14ac:dyDescent="0.25">
      <c r="A14" t="s">
        <v>38</v>
      </c>
      <c r="B14" t="s">
        <v>29</v>
      </c>
      <c r="C14" t="s">
        <v>2</v>
      </c>
      <c r="D14" s="22">
        <f>D6+D9+D13*2+D12</f>
        <v>74838.888888888891</v>
      </c>
      <c r="E14">
        <f>ROUNDUP(D14,0)</f>
        <v>74839</v>
      </c>
      <c r="F14">
        <f>TRUNC(D14/60,1)</f>
        <v>1247.3</v>
      </c>
      <c r="G14" t="s">
        <v>1</v>
      </c>
      <c r="H14">
        <f>TRUNC(F14/60,1)</f>
        <v>20.7</v>
      </c>
      <c r="I14" t="s">
        <v>0</v>
      </c>
    </row>
    <row r="15" spans="1:9" ht="18.75" x14ac:dyDescent="0.3">
      <c r="A15" s="1" t="s">
        <v>38</v>
      </c>
      <c r="B15" s="24" t="s">
        <v>39</v>
      </c>
      <c r="C15" t="s">
        <v>40</v>
      </c>
      <c r="D15" s="22">
        <f>D14/3600</f>
        <v>20.788580246913579</v>
      </c>
      <c r="E15" s="19">
        <f>ROUNDUP(D15,0)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ValueProperties</vt:lpstr>
      <vt:lpstr>Equations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2024-11-11T22:11:26Z</dcterms:created>
  <dc:creator>Quentin Cespedes</dc:creator>
  <cp:lastModifiedBy>Quentin Cespedes</cp:lastModifiedBy>
  <dcterms:modified xsi:type="dcterms:W3CDTF">2024-11-15T17:43:10Z</dcterms:modified>
</cp:coreProperties>
</file>